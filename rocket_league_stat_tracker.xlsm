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andoleary\Desktop\"/>
    </mc:Choice>
  </mc:AlternateContent>
  <xr:revisionPtr revIDLastSave="0" documentId="13_ncr:1_{6C26CC7E-CB33-4DD3-8C1C-8D7508BC168D}" xr6:coauthVersionLast="45" xr6:coauthVersionMax="45" xr10:uidLastSave="{00000000-0000-0000-0000-000000000000}"/>
  <bookViews>
    <workbookView xWindow="-108" yWindow="-108" windowWidth="23256" windowHeight="12576" xr2:uid="{645586BE-CA0F-4213-960F-FDFAF47A235F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2" i="1" l="1"/>
  <c r="O2" i="1" l="1"/>
  <c r="K10" i="1"/>
  <c r="K9" i="1"/>
  <c r="K8" i="1"/>
  <c r="K7" i="1"/>
  <c r="K6" i="1"/>
  <c r="K11" i="1"/>
  <c r="K4" i="1" l="1"/>
  <c r="K3" i="1"/>
  <c r="K5" i="1" l="1"/>
</calcChain>
</file>

<file path=xl/sharedStrings.xml><?xml version="1.0" encoding="utf-8"?>
<sst xmlns="http://schemas.openxmlformats.org/spreadsheetml/2006/main" count="73" uniqueCount="36">
  <si>
    <t>Goals Scored</t>
  </si>
  <si>
    <t>Goals Conceded</t>
  </si>
  <si>
    <t>Shots</t>
  </si>
  <si>
    <t>Saves</t>
  </si>
  <si>
    <t>Game #</t>
  </si>
  <si>
    <t>GOALS(for)</t>
  </si>
  <si>
    <t>GOALS(opp)</t>
  </si>
  <si>
    <t>Input:</t>
  </si>
  <si>
    <t>W/L?</t>
  </si>
  <si>
    <t>Score</t>
  </si>
  <si>
    <t>Current:</t>
  </si>
  <si>
    <t>Loss</t>
  </si>
  <si>
    <t>Win</t>
  </si>
  <si>
    <t>0-25%</t>
  </si>
  <si>
    <t>25-50%</t>
  </si>
  <si>
    <t>50-75%</t>
  </si>
  <si>
    <t>W/L Margin</t>
  </si>
  <si>
    <t>75%+</t>
  </si>
  <si>
    <t>Wins</t>
  </si>
  <si>
    <t>Losses</t>
  </si>
  <si>
    <t>Statistics</t>
  </si>
  <si>
    <t>Shot %</t>
  </si>
  <si>
    <t>Goals/g</t>
  </si>
  <si>
    <t>Conceded/g</t>
  </si>
  <si>
    <t>Shots/g</t>
  </si>
  <si>
    <t>Saves/g</t>
  </si>
  <si>
    <t>Score/g</t>
  </si>
  <si>
    <t xml:space="preserve"> </t>
  </si>
  <si>
    <t>Win %</t>
  </si>
  <si>
    <t>MMR</t>
  </si>
  <si>
    <t>Beg. MMR</t>
  </si>
  <si>
    <t>End MMR</t>
  </si>
  <si>
    <r>
      <rPr>
        <b/>
        <sz val="15"/>
        <color theme="0"/>
        <rFont val="Calibri"/>
        <family val="2"/>
      </rPr>
      <t xml:space="preserve">Total Δ </t>
    </r>
    <r>
      <rPr>
        <b/>
        <sz val="15"/>
        <color theme="0"/>
        <rFont val="Calibri"/>
        <family val="2"/>
        <scheme val="minor"/>
      </rPr>
      <t>MMR</t>
    </r>
  </si>
  <si>
    <t>Current MMR</t>
  </si>
  <si>
    <t>game approx. mmr (8mmr/game)</t>
  </si>
  <si>
    <t>You must enter data range manually.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</si>
</sst>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5"/>
      <name val="Calibri"/>
      <family val="2"/>
      <scheme val="minor"/>
    </font>
    <font>
      <b/>
      <sz val="15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rgb="FF000000"/>
      <name val="Calibri"/>
      <family val="2"/>
    </font>
    <font>
      <b/>
      <sz val="15"/>
      <color rgb="FF000000"/>
      <name val="Calibri"/>
      <family val="2"/>
    </font>
    <font>
      <b/>
      <sz val="11"/>
      <color theme="0"/>
      <name val="Calibri"/>
      <family val="2"/>
      <scheme val="minor"/>
    </font>
    <font>
      <b/>
      <sz val="11.5"/>
      <color theme="1"/>
      <name val="Calibri"/>
      <family val="2"/>
      <scheme val="minor"/>
    </font>
    <font>
      <b/>
      <sz val="13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5"/>
      <color theme="0"/>
      <name val="Calibri"/>
      <family val="2"/>
    </font>
    <font>
      <b/>
      <sz val="25"/>
      <color theme="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36DE8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1E05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DB361"/>
        <bgColor indexed="64"/>
      </patternFill>
    </fill>
    <fill>
      <patternFill patternType="solid">
        <fgColor rgb="FF12703D"/>
        <bgColor indexed="64"/>
      </patternFill>
    </fill>
    <fill>
      <patternFill patternType="solid">
        <fgColor rgb="FF7EEAAF"/>
        <bgColor indexed="64"/>
      </patternFill>
    </fill>
    <fill>
      <patternFill patternType="solid">
        <fgColor rgb="FFFF9799"/>
        <bgColor indexed="64"/>
      </patternFill>
    </fill>
    <fill>
      <patternFill patternType="solid">
        <fgColor rgb="FFFF5B5F"/>
        <bgColor indexed="64"/>
      </patternFill>
    </fill>
    <fill>
      <patternFill patternType="solid">
        <fgColor rgb="FFC80005"/>
        <bgColor indexed="64"/>
      </patternFill>
    </fill>
    <fill>
      <patternFill patternType="solid">
        <fgColor rgb="FFEE000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36DE8C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9" fontId="11" fillId="0" borderId="0" applyFont="0" applyFill="0" applyBorder="0" applyAlignment="0" applyProtection="0"/>
  </cellStyleXfs>
  <cellXfs count="100">
    <xf numFmtId="0" fontId="0" fillId="0" borderId="0" xfId="0"/>
    <xf numFmtId="0" fontId="2" fillId="0" borderId="0" xfId="0" applyFont="1"/>
    <xf numFmtId="0" fontId="0" fillId="0" borderId="6" xfId="0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3" fillId="0" borderId="0" xfId="0" applyFont="1" applyAlignment="1">
      <alignment vertical="center"/>
    </xf>
    <xf numFmtId="0" fontId="4" fillId="4" borderId="4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/>
    </xf>
    <xf numFmtId="0" fontId="5" fillId="4" borderId="2" xfId="0" applyFont="1" applyFill="1" applyBorder="1" applyAlignment="1">
      <alignment horizontal="center"/>
    </xf>
    <xf numFmtId="0" fontId="5" fillId="4" borderId="7" xfId="0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 vertical="center"/>
    </xf>
    <xf numFmtId="0" fontId="0" fillId="14" borderId="6" xfId="0" applyFill="1" applyBorder="1" applyAlignment="1">
      <alignment horizontal="center"/>
    </xf>
    <xf numFmtId="0" fontId="3" fillId="15" borderId="9" xfId="0" applyFont="1" applyFill="1" applyBorder="1" applyAlignment="1">
      <alignment horizontal="center" vertical="center"/>
    </xf>
    <xf numFmtId="0" fontId="3" fillId="15" borderId="5" xfId="0" applyFont="1" applyFill="1" applyBorder="1" applyAlignment="1">
      <alignment horizontal="center" vertical="center"/>
    </xf>
    <xf numFmtId="0" fontId="8" fillId="4" borderId="6" xfId="0" applyFont="1" applyFill="1" applyBorder="1" applyAlignment="1">
      <alignment horizontal="center" vertical="center"/>
    </xf>
    <xf numFmtId="0" fontId="4" fillId="5" borderId="8" xfId="0" applyFont="1" applyFill="1" applyBorder="1" applyAlignment="1">
      <alignment horizontal="center" vertical="center"/>
    </xf>
    <xf numFmtId="0" fontId="4" fillId="5" borderId="6" xfId="0" applyFont="1" applyFill="1" applyBorder="1" applyAlignment="1">
      <alignment horizontal="center" vertical="center"/>
    </xf>
    <xf numFmtId="0" fontId="8" fillId="5" borderId="6" xfId="0" applyFont="1" applyFill="1" applyBorder="1" applyAlignment="1">
      <alignment horizontal="center" vertical="center"/>
    </xf>
    <xf numFmtId="0" fontId="8" fillId="0" borderId="6" xfId="0" applyFont="1" applyFill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8" fillId="6" borderId="6" xfId="0" applyFont="1" applyFill="1" applyBorder="1" applyAlignment="1">
      <alignment horizontal="center" vertical="center"/>
    </xf>
    <xf numFmtId="0" fontId="8" fillId="8" borderId="6" xfId="0" applyFont="1" applyFill="1" applyBorder="1" applyAlignment="1">
      <alignment horizontal="center" vertical="center"/>
    </xf>
    <xf numFmtId="0" fontId="8" fillId="11" borderId="6" xfId="0" applyFont="1" applyFill="1" applyBorder="1" applyAlignment="1">
      <alignment horizontal="center" vertical="center"/>
    </xf>
    <xf numFmtId="0" fontId="8" fillId="10" borderId="10" xfId="0" applyFont="1" applyFill="1" applyBorder="1" applyAlignment="1">
      <alignment horizontal="center" vertical="center"/>
    </xf>
    <xf numFmtId="0" fontId="3" fillId="15" borderId="7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7" borderId="10" xfId="0" applyFont="1" applyFill="1" applyBorder="1" applyAlignment="1">
      <alignment horizontal="center" vertical="center"/>
    </xf>
    <xf numFmtId="0" fontId="8" fillId="8" borderId="10" xfId="0" applyFont="1" applyFill="1" applyBorder="1" applyAlignment="1">
      <alignment horizontal="center" vertical="center"/>
    </xf>
    <xf numFmtId="0" fontId="8" fillId="9" borderId="10" xfId="0" applyFont="1" applyFill="1" applyBorder="1" applyAlignment="1">
      <alignment horizontal="center" vertical="center"/>
    </xf>
    <xf numFmtId="0" fontId="4" fillId="3" borderId="0" xfId="0" applyFont="1" applyFill="1"/>
    <xf numFmtId="0" fontId="4" fillId="3" borderId="0" xfId="0" applyFont="1" applyFill="1" applyAlignment="1">
      <alignment vertical="center"/>
    </xf>
    <xf numFmtId="0" fontId="8" fillId="16" borderId="0" xfId="0" applyFont="1" applyFill="1"/>
    <xf numFmtId="0" fontId="8" fillId="16" borderId="0" xfId="0" applyFont="1" applyFill="1" applyBorder="1"/>
    <xf numFmtId="0" fontId="12" fillId="0" borderId="0" xfId="0" applyFont="1"/>
    <xf numFmtId="0" fontId="2" fillId="0" borderId="0" xfId="0" applyFont="1" applyAlignment="1">
      <alignment horizontal="center"/>
    </xf>
    <xf numFmtId="0" fontId="4" fillId="16" borderId="0" xfId="0" applyFont="1" applyFill="1" applyAlignment="1">
      <alignment horizont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ont="1"/>
    <xf numFmtId="0" fontId="0" fillId="0" borderId="0" xfId="0" applyFont="1" applyAlignment="1">
      <alignment horizontal="center"/>
    </xf>
    <xf numFmtId="0" fontId="1" fillId="0" borderId="0" xfId="0" applyFont="1"/>
    <xf numFmtId="0" fontId="8" fillId="16" borderId="0" xfId="0" applyFont="1" applyFill="1" applyAlignment="1">
      <alignment horizontal="center"/>
    </xf>
    <xf numFmtId="0" fontId="8" fillId="0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8" fillId="9" borderId="6" xfId="0" applyFont="1" applyFill="1" applyBorder="1" applyAlignment="1">
      <alignment horizontal="center" vertical="center"/>
    </xf>
    <xf numFmtId="0" fontId="8" fillId="2" borderId="6" xfId="0" applyFont="1" applyFill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8" fillId="7" borderId="6" xfId="0" applyFont="1" applyFill="1" applyBorder="1" applyAlignment="1">
      <alignment horizontal="center" vertical="center"/>
    </xf>
    <xf numFmtId="0" fontId="8" fillId="12" borderId="6" xfId="0" applyFont="1" applyFill="1" applyBorder="1" applyAlignment="1">
      <alignment horizontal="center" vertical="center"/>
    </xf>
    <xf numFmtId="0" fontId="2" fillId="13" borderId="15" xfId="0" applyFont="1" applyFill="1" applyBorder="1" applyAlignment="1">
      <alignment horizontal="center" vertical="center"/>
    </xf>
    <xf numFmtId="0" fontId="3" fillId="17" borderId="16" xfId="0" applyFont="1" applyFill="1" applyBorder="1" applyAlignment="1">
      <alignment horizontal="center" vertical="center"/>
    </xf>
    <xf numFmtId="0" fontId="12" fillId="16" borderId="0" xfId="0" applyFont="1" applyFill="1"/>
    <xf numFmtId="0" fontId="1" fillId="16" borderId="0" xfId="0" applyFont="1" applyFill="1"/>
    <xf numFmtId="0" fontId="0" fillId="16" borderId="0" xfId="0" applyFont="1" applyFill="1"/>
    <xf numFmtId="0" fontId="8" fillId="8" borderId="11" xfId="0" applyFont="1" applyFill="1" applyBorder="1" applyAlignment="1">
      <alignment horizontal="center"/>
    </xf>
    <xf numFmtId="0" fontId="8" fillId="8" borderId="12" xfId="0" applyFont="1" applyFill="1" applyBorder="1" applyAlignment="1">
      <alignment horizontal="center"/>
    </xf>
    <xf numFmtId="0" fontId="8" fillId="9" borderId="11" xfId="0" applyFont="1" applyFill="1" applyBorder="1" applyAlignment="1">
      <alignment horizontal="center"/>
    </xf>
    <xf numFmtId="0" fontId="8" fillId="9" borderId="12" xfId="0" applyFont="1" applyFill="1" applyBorder="1" applyAlignment="1">
      <alignment horizontal="center"/>
    </xf>
    <xf numFmtId="0" fontId="8" fillId="16" borderId="10" xfId="0" applyFont="1" applyFill="1" applyBorder="1" applyAlignment="1">
      <alignment horizontal="center"/>
    </xf>
    <xf numFmtId="0" fontId="8" fillId="16" borderId="0" xfId="0" applyFont="1" applyFill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8" fillId="10" borderId="11" xfId="0" applyFont="1" applyFill="1" applyBorder="1" applyAlignment="1">
      <alignment horizontal="center"/>
    </xf>
    <xf numFmtId="0" fontId="8" fillId="10" borderId="12" xfId="0" applyFont="1" applyFill="1" applyBorder="1" applyAlignment="1">
      <alignment horizontal="center"/>
    </xf>
    <xf numFmtId="0" fontId="8" fillId="12" borderId="11" xfId="0" applyFont="1" applyFill="1" applyBorder="1" applyAlignment="1">
      <alignment horizontal="center"/>
    </xf>
    <xf numFmtId="0" fontId="8" fillId="12" borderId="12" xfId="0" applyFont="1" applyFill="1" applyBorder="1" applyAlignment="1">
      <alignment horizontal="center"/>
    </xf>
    <xf numFmtId="0" fontId="8" fillId="11" borderId="13" xfId="0" applyFont="1" applyFill="1" applyBorder="1" applyAlignment="1">
      <alignment horizontal="center"/>
    </xf>
    <xf numFmtId="0" fontId="8" fillId="11" borderId="14" xfId="0" applyFont="1" applyFill="1" applyBorder="1" applyAlignment="1">
      <alignment horizontal="center"/>
    </xf>
    <xf numFmtId="0" fontId="4" fillId="16" borderId="0" xfId="0" applyFont="1" applyFill="1" applyAlignment="1">
      <alignment horizontal="center" vertical="center"/>
    </xf>
    <xf numFmtId="0" fontId="9" fillId="13" borderId="15" xfId="0" applyFont="1" applyFill="1" applyBorder="1" applyAlignment="1">
      <alignment horizontal="center"/>
    </xf>
    <xf numFmtId="0" fontId="0" fillId="13" borderId="16" xfId="0" applyFill="1" applyBorder="1" applyAlignment="1">
      <alignment horizontal="center"/>
    </xf>
    <xf numFmtId="0" fontId="8" fillId="7" borderId="11" xfId="0" applyFont="1" applyFill="1" applyBorder="1" applyAlignment="1">
      <alignment horizontal="center" vertical="center"/>
    </xf>
    <xf numFmtId="0" fontId="8" fillId="7" borderId="12" xfId="0" applyFont="1" applyFill="1" applyBorder="1" applyAlignment="1">
      <alignment horizontal="center" vertical="center"/>
    </xf>
    <xf numFmtId="0" fontId="8" fillId="6" borderId="11" xfId="0" applyFont="1" applyFill="1" applyBorder="1" applyAlignment="1">
      <alignment horizontal="center"/>
    </xf>
    <xf numFmtId="0" fontId="8" fillId="6" borderId="12" xfId="0" applyFont="1" applyFill="1" applyBorder="1" applyAlignment="1">
      <alignment horizontal="center"/>
    </xf>
    <xf numFmtId="0" fontId="8" fillId="2" borderId="11" xfId="0" applyFont="1" applyFill="1" applyBorder="1" applyAlignment="1">
      <alignment horizontal="center"/>
    </xf>
    <xf numFmtId="0" fontId="8" fillId="2" borderId="12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2" borderId="12" xfId="0" applyFont="1" applyFill="1" applyBorder="1" applyAlignment="1">
      <alignment horizontal="center"/>
    </xf>
    <xf numFmtId="0" fontId="1" fillId="10" borderId="0" xfId="0" applyFont="1" applyFill="1" applyBorder="1" applyAlignment="1">
      <alignment horizontal="center"/>
    </xf>
    <xf numFmtId="0" fontId="1" fillId="10" borderId="12" xfId="0" applyFont="1" applyFill="1" applyBorder="1" applyAlignment="1">
      <alignment horizontal="center"/>
    </xf>
    <xf numFmtId="9" fontId="1" fillId="0" borderId="0" xfId="1" applyFont="1" applyBorder="1" applyAlignment="1">
      <alignment horizontal="center"/>
    </xf>
    <xf numFmtId="9" fontId="1" fillId="0" borderId="12" xfId="1" applyFont="1" applyBorder="1" applyAlignment="1">
      <alignment horizontal="center"/>
    </xf>
    <xf numFmtId="164" fontId="1" fillId="0" borderId="0" xfId="0" applyNumberFormat="1" applyFont="1" applyBorder="1" applyAlignment="1">
      <alignment horizontal="center"/>
    </xf>
    <xf numFmtId="164" fontId="1" fillId="0" borderId="1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1" fontId="1" fillId="0" borderId="12" xfId="0" applyNumberFormat="1" applyFont="1" applyBorder="1" applyAlignment="1">
      <alignment horizontal="center"/>
    </xf>
    <xf numFmtId="9" fontId="1" fillId="0" borderId="18" xfId="1" applyFont="1" applyBorder="1" applyAlignment="1">
      <alignment horizontal="center"/>
    </xf>
    <xf numFmtId="9" fontId="1" fillId="0" borderId="14" xfId="1" applyFont="1" applyBorder="1" applyAlignment="1">
      <alignment horizontal="center"/>
    </xf>
    <xf numFmtId="0" fontId="8" fillId="10" borderId="6" xfId="0" applyFont="1" applyFill="1" applyBorder="1" applyAlignment="1">
      <alignment horizontal="center" vertical="center"/>
    </xf>
    <xf numFmtId="0" fontId="14" fillId="3" borderId="0" xfId="0" applyFont="1" applyFill="1" applyAlignment="1">
      <alignment horizontal="center"/>
    </xf>
    <xf numFmtId="0" fontId="2" fillId="16" borderId="0" xfId="0" applyFont="1" applyFill="1"/>
    <xf numFmtId="0" fontId="3" fillId="16" borderId="0" xfId="0" applyFont="1" applyFill="1" applyAlignment="1">
      <alignment vertical="center"/>
    </xf>
    <xf numFmtId="0" fontId="14" fillId="3" borderId="0" xfId="0" applyFont="1" applyFill="1" applyAlignment="1">
      <alignment horizontal="left"/>
    </xf>
    <xf numFmtId="0" fontId="1" fillId="0" borderId="15" xfId="0" applyFont="1" applyFill="1" applyBorder="1" applyAlignment="1">
      <alignment horizontal="left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</cellXfs>
  <cellStyles count="2">
    <cellStyle name="Normal" xfId="0" builtinId="0"/>
    <cellStyle name="Percent" xfId="1" builtinId="5"/>
  </cellStyles>
  <dxfs count="2">
    <dxf>
      <fill>
        <patternFill>
          <bgColor rgb="FFFF6565"/>
        </patternFill>
      </fill>
    </dxf>
    <dxf>
      <fill>
        <patternFill>
          <bgColor rgb="FF5DFF9F"/>
        </patternFill>
      </fill>
    </dxf>
  </dxfs>
  <tableStyles count="0" defaultTableStyle="TableStyleMedium2" defaultPivotStyle="PivotStyleLight16"/>
  <colors>
    <mruColors>
      <color rgb="FF36DE82"/>
      <color rgb="FFFF6565"/>
      <color rgb="FF5DFF9F"/>
      <color rgb="FFFF5B5F"/>
      <color rgb="FF7EEAAF"/>
      <color rgb="FFEE0006"/>
      <color rgb="FFC80005"/>
      <color rgb="FFFF3338"/>
      <color rgb="FFFF9799"/>
      <color rgb="FFFF010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976781748435278E-2"/>
          <c:y val="3.968253968253968E-2"/>
          <c:w val="0.90579244902079548"/>
          <c:h val="0.92063492063492058"/>
        </c:manualLayout>
      </c:layout>
      <c:lineChart>
        <c:grouping val="standard"/>
        <c:varyColors val="0"/>
        <c:ser>
          <c:idx val="0"/>
          <c:order val="0"/>
          <c:spPr>
            <a:ln w="22225" cap="rnd">
              <a:solidFill>
                <a:schemeClr val="bg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Sheet1!$I$24:$I$52</c:f>
              <c:numCache>
                <c:formatCode>General</c:formatCode>
                <c:ptCount val="29"/>
                <c:pt idx="0">
                  <c:v>1010</c:v>
                </c:pt>
                <c:pt idx="1">
                  <c:v>1020</c:v>
                </c:pt>
                <c:pt idx="2">
                  <c:v>1030</c:v>
                </c:pt>
                <c:pt idx="3">
                  <c:v>1040</c:v>
                </c:pt>
                <c:pt idx="4">
                  <c:v>1030</c:v>
                </c:pt>
                <c:pt idx="5">
                  <c:v>1020</c:v>
                </c:pt>
                <c:pt idx="6">
                  <c:v>1030</c:v>
                </c:pt>
                <c:pt idx="7">
                  <c:v>1040</c:v>
                </c:pt>
                <c:pt idx="8">
                  <c:v>1050</c:v>
                </c:pt>
                <c:pt idx="9">
                  <c:v>1060</c:v>
                </c:pt>
                <c:pt idx="10">
                  <c:v>1070</c:v>
                </c:pt>
                <c:pt idx="11">
                  <c:v>1080</c:v>
                </c:pt>
                <c:pt idx="12">
                  <c:v>1070</c:v>
                </c:pt>
                <c:pt idx="13">
                  <c:v>1080</c:v>
                </c:pt>
                <c:pt idx="14">
                  <c:v>1090</c:v>
                </c:pt>
                <c:pt idx="15">
                  <c:v>1082</c:v>
                </c:pt>
                <c:pt idx="16">
                  <c:v>1090</c:v>
                </c:pt>
                <c:pt idx="17">
                  <c:v>1098</c:v>
                </c:pt>
                <c:pt idx="18">
                  <c:v>1106</c:v>
                </c:pt>
                <c:pt idx="19">
                  <c:v>1114</c:v>
                </c:pt>
                <c:pt idx="20">
                  <c:v>1122</c:v>
                </c:pt>
                <c:pt idx="21">
                  <c:v>1130</c:v>
                </c:pt>
                <c:pt idx="22">
                  <c:v>1138</c:v>
                </c:pt>
                <c:pt idx="23">
                  <c:v>1130</c:v>
                </c:pt>
                <c:pt idx="24">
                  <c:v>1122</c:v>
                </c:pt>
                <c:pt idx="25">
                  <c:v>1130</c:v>
                </c:pt>
                <c:pt idx="26">
                  <c:v>1122</c:v>
                </c:pt>
                <c:pt idx="27">
                  <c:v>1130</c:v>
                </c:pt>
                <c:pt idx="28">
                  <c:v>1122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D2-4954-94C6-8AD9022BE2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34161823"/>
        <c:axId val="1817675135"/>
      </c:lineChart>
      <c:catAx>
        <c:axId val="2034161823"/>
        <c:scaling>
          <c:orientation val="minMax"/>
        </c:scaling>
        <c:delete val="1"/>
        <c:axPos val="b"/>
        <c:majorTickMark val="out"/>
        <c:minorTickMark val="none"/>
        <c:tickLblPos val="nextTo"/>
        <c:crossAx val="1817675135"/>
        <c:crosses val="autoZero"/>
        <c:auto val="1"/>
        <c:lblAlgn val="ctr"/>
        <c:lblOffset val="100"/>
        <c:noMultiLvlLbl val="0"/>
      </c:catAx>
      <c:valAx>
        <c:axId val="1817675135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41618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0</xdr:row>
          <xdr:rowOff>22860</xdr:rowOff>
        </xdr:from>
        <xdr:to>
          <xdr:col>8</xdr:col>
          <xdr:colOff>594360</xdr:colOff>
          <xdr:row>2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  <a:r>
                <a:rPr lang="en-US" sz="15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Enter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5</xdr:row>
          <xdr:rowOff>175260</xdr:rowOff>
        </xdr:from>
        <xdr:to>
          <xdr:col>8</xdr:col>
          <xdr:colOff>594360</xdr:colOff>
          <xdr:row>8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5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Display Stats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22860</xdr:colOff>
          <xdr:row>2</xdr:row>
          <xdr:rowOff>198120</xdr:rowOff>
        </xdr:from>
        <xdr:to>
          <xdr:col>8</xdr:col>
          <xdr:colOff>594360</xdr:colOff>
          <xdr:row>5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5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22860</xdr:colOff>
          <xdr:row>18</xdr:row>
          <xdr:rowOff>7620</xdr:rowOff>
        </xdr:from>
        <xdr:to>
          <xdr:col>8</xdr:col>
          <xdr:colOff>601980</xdr:colOff>
          <xdr:row>20</xdr:row>
          <xdr:rowOff>7620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3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0</xdr:colOff>
      <xdr:row>2</xdr:row>
      <xdr:rowOff>22860</xdr:rowOff>
    </xdr:from>
    <xdr:to>
      <xdr:col>19</xdr:col>
      <xdr:colOff>586740</xdr:colOff>
      <xdr:row>20</xdr:row>
      <xdr:rowOff>167640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15240</xdr:colOff>
      <xdr:row>0</xdr:row>
      <xdr:rowOff>152400</xdr:rowOff>
    </xdr:from>
    <xdr:to>
      <xdr:col>10</xdr:col>
      <xdr:colOff>0</xdr:colOff>
      <xdr:row>1</xdr:row>
      <xdr:rowOff>192677</xdr:rowOff>
    </xdr:to>
    <xdr:pic>
      <xdr:nvPicPr>
        <xdr:cNvPr id="7" name="Picture 6" descr="Amazon.com: JINX Rocket League Logo Bumper Sticker, Black, 9x3: Toys &amp; Games">
          <a:extLst>
            <a:ext uri="{FF2B5EF4-FFF2-40B4-BE49-F238E27FC236}">
              <a16:creationId xmlns:a16="http://schemas.microsoft.com/office/drawing/2014/main" id="{228A12A6-4596-4F6D-9EF8-67AB42A274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41720" y="152400"/>
          <a:ext cx="762000" cy="2993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B255E-6EFD-4A47-BB4E-80D2D2E72C4E}">
  <sheetPr codeName="Sheet1"/>
  <dimension ref="A1:T52"/>
  <sheetViews>
    <sheetView tabSelected="1" topLeftCell="B1" zoomScaleNormal="100" workbookViewId="0">
      <selection activeCell="U1" sqref="U1"/>
    </sheetView>
  </sheetViews>
  <sheetFormatPr defaultRowHeight="14.4" x14ac:dyDescent="0.3"/>
  <cols>
    <col min="1" max="1" width="8.109375" style="5" bestFit="1" customWidth="1"/>
    <col min="2" max="2" width="14.33203125" style="2" bestFit="1" customWidth="1"/>
    <col min="3" max="3" width="16.109375" style="3" bestFit="1" customWidth="1"/>
    <col min="4" max="4" width="7.5546875" style="3" bestFit="1" customWidth="1"/>
    <col min="5" max="5" width="7.6640625" style="3" bestFit="1" customWidth="1"/>
    <col min="6" max="6" width="8.88671875" style="3"/>
    <col min="7" max="7" width="8.88671875" style="22"/>
    <col min="8" max="8" width="8.88671875" style="46"/>
    <col min="9" max="9" width="8.88671875" style="40"/>
    <col min="10" max="10" width="11.33203125" style="36" bestFit="1" customWidth="1"/>
    <col min="11" max="11" width="8.88671875" style="43"/>
    <col min="12" max="12" width="8.88671875" style="41" customWidth="1"/>
    <col min="13" max="13" width="13.5546875" style="42" bestFit="1" customWidth="1"/>
    <col min="14" max="14" width="16.44140625" style="40" bestFit="1" customWidth="1"/>
    <col min="15" max="15" width="12.5546875" style="40" bestFit="1" customWidth="1"/>
  </cols>
  <sheetData>
    <row r="1" spans="1:20" s="1" customFormat="1" ht="20.399999999999999" thickBot="1" x14ac:dyDescent="0.45">
      <c r="A1" s="4"/>
      <c r="B1" s="7" t="s">
        <v>5</v>
      </c>
      <c r="C1" s="8" t="s">
        <v>6</v>
      </c>
      <c r="D1" s="7" t="s">
        <v>2</v>
      </c>
      <c r="E1" s="7" t="s">
        <v>3</v>
      </c>
      <c r="F1" s="7" t="s">
        <v>9</v>
      </c>
      <c r="G1" s="18"/>
      <c r="H1" s="37"/>
      <c r="I1" s="37"/>
      <c r="J1" s="32"/>
      <c r="K1" s="38" t="s">
        <v>12</v>
      </c>
      <c r="L1" s="38" t="s">
        <v>11</v>
      </c>
      <c r="M1" s="38" t="s">
        <v>30</v>
      </c>
      <c r="N1" s="38" t="s">
        <v>32</v>
      </c>
      <c r="O1" s="38" t="s">
        <v>31</v>
      </c>
      <c r="P1" s="94"/>
      <c r="Q1" s="94"/>
      <c r="R1" s="94"/>
      <c r="S1" s="94"/>
      <c r="T1" s="94"/>
    </row>
    <row r="2" spans="1:20" s="6" customFormat="1" ht="27" customHeight="1" thickBot="1" x14ac:dyDescent="0.35">
      <c r="A2" s="13" t="s">
        <v>7</v>
      </c>
      <c r="B2" s="15">
        <v>5</v>
      </c>
      <c r="C2" s="16">
        <v>6</v>
      </c>
      <c r="D2" s="16">
        <v>7</v>
      </c>
      <c r="E2" s="16">
        <v>1</v>
      </c>
      <c r="F2" s="27">
        <v>1058</v>
      </c>
      <c r="G2" s="19"/>
      <c r="H2" s="39"/>
      <c r="I2" s="39"/>
      <c r="J2" s="33"/>
      <c r="K2" s="71" t="s">
        <v>20</v>
      </c>
      <c r="L2" s="71"/>
      <c r="M2" s="52">
        <v>1000</v>
      </c>
      <c r="N2" s="49">
        <f>H22-M2</f>
        <v>122</v>
      </c>
      <c r="O2" s="53">
        <f>M2+N2</f>
        <v>1122</v>
      </c>
      <c r="P2" s="95"/>
      <c r="Q2" s="95"/>
      <c r="R2" s="95"/>
      <c r="S2" s="95"/>
      <c r="T2" s="95"/>
    </row>
    <row r="3" spans="1:20" ht="16.2" thickBot="1" x14ac:dyDescent="0.35">
      <c r="A3" s="12" t="s">
        <v>10</v>
      </c>
      <c r="B3" s="17">
        <v>29</v>
      </c>
      <c r="C3" s="14"/>
      <c r="D3" s="14"/>
      <c r="E3" s="14"/>
      <c r="F3" s="14"/>
      <c r="G3" s="20"/>
      <c r="J3" s="34" t="s">
        <v>18</v>
      </c>
      <c r="K3" s="80">
        <f>COUNTIF(G5:G1000,K1)</f>
        <v>21</v>
      </c>
      <c r="L3" s="81"/>
    </row>
    <row r="4" spans="1:20" ht="16.2" thickBot="1" x14ac:dyDescent="0.35">
      <c r="A4" s="9" t="s">
        <v>4</v>
      </c>
      <c r="B4" s="10" t="s">
        <v>0</v>
      </c>
      <c r="C4" s="11" t="s">
        <v>1</v>
      </c>
      <c r="D4" s="11" t="s">
        <v>2</v>
      </c>
      <c r="E4" s="11" t="s">
        <v>3</v>
      </c>
      <c r="F4" s="11" t="s">
        <v>9</v>
      </c>
      <c r="G4" s="10" t="s">
        <v>8</v>
      </c>
      <c r="J4" s="34" t="s">
        <v>19</v>
      </c>
      <c r="K4" s="82">
        <f>COUNTIF(G5:G1000,L1)</f>
        <v>8</v>
      </c>
      <c r="L4" s="83"/>
    </row>
    <row r="5" spans="1:20" x14ac:dyDescent="0.3">
      <c r="A5" s="5">
        <v>1</v>
      </c>
      <c r="B5" s="2">
        <v>10</v>
      </c>
      <c r="C5" s="3">
        <v>5</v>
      </c>
      <c r="D5" s="3">
        <v>12</v>
      </c>
      <c r="E5" s="3">
        <v>1</v>
      </c>
      <c r="F5" s="3">
        <v>1501</v>
      </c>
      <c r="G5" s="23" t="s">
        <v>12</v>
      </c>
      <c r="J5" s="34" t="s">
        <v>28</v>
      </c>
      <c r="K5" s="84">
        <f>K3/(K3+K4)</f>
        <v>0.72413793103448276</v>
      </c>
      <c r="L5" s="85"/>
    </row>
    <row r="6" spans="1:20" x14ac:dyDescent="0.3">
      <c r="A6" s="5">
        <v>2</v>
      </c>
      <c r="B6" s="2">
        <v>5</v>
      </c>
      <c r="C6" s="3">
        <v>2</v>
      </c>
      <c r="D6" s="3">
        <v>4</v>
      </c>
      <c r="E6" s="3">
        <v>1</v>
      </c>
      <c r="F6" s="3">
        <v>509</v>
      </c>
      <c r="G6" s="23" t="s">
        <v>12</v>
      </c>
      <c r="J6" s="34" t="s">
        <v>22</v>
      </c>
      <c r="K6" s="86">
        <f>AVERAGE(B5:B1000)</f>
        <v>5.5517241379310347</v>
      </c>
      <c r="L6" s="87"/>
    </row>
    <row r="7" spans="1:20" x14ac:dyDescent="0.3">
      <c r="A7" s="5">
        <v>3</v>
      </c>
      <c r="B7" s="2">
        <v>7</v>
      </c>
      <c r="C7" s="3">
        <v>2</v>
      </c>
      <c r="D7" s="3">
        <v>7</v>
      </c>
      <c r="E7" s="3">
        <v>2</v>
      </c>
      <c r="F7" s="3">
        <v>1077</v>
      </c>
      <c r="G7" s="23" t="s">
        <v>12</v>
      </c>
      <c r="J7" s="34" t="s">
        <v>23</v>
      </c>
      <c r="K7" s="86">
        <f>AVERAGE(C5:C1000)</f>
        <v>3.5862068965517242</v>
      </c>
      <c r="L7" s="87"/>
    </row>
    <row r="8" spans="1:20" x14ac:dyDescent="0.3">
      <c r="A8" s="5">
        <v>4</v>
      </c>
      <c r="B8" s="2">
        <v>8</v>
      </c>
      <c r="C8" s="3">
        <v>7</v>
      </c>
      <c r="D8" s="3">
        <v>12</v>
      </c>
      <c r="E8" s="3">
        <v>1</v>
      </c>
      <c r="F8" s="3">
        <v>1358</v>
      </c>
      <c r="G8" s="24" t="s">
        <v>12</v>
      </c>
      <c r="J8" s="34" t="s">
        <v>24</v>
      </c>
      <c r="K8" s="88">
        <f>AVERAGE(D5:D1000)</f>
        <v>8.4482758620689662</v>
      </c>
      <c r="L8" s="89"/>
      <c r="N8" s="40" t="s">
        <v>27</v>
      </c>
    </row>
    <row r="9" spans="1:20" ht="15" thickBot="1" x14ac:dyDescent="0.35">
      <c r="A9" s="5">
        <v>5</v>
      </c>
      <c r="B9" s="2">
        <v>1</v>
      </c>
      <c r="C9" s="3">
        <v>4</v>
      </c>
      <c r="D9" s="3">
        <v>2</v>
      </c>
      <c r="E9" s="3">
        <v>2</v>
      </c>
      <c r="F9" s="3">
        <v>411</v>
      </c>
      <c r="G9" s="25" t="s">
        <v>11</v>
      </c>
      <c r="J9" s="34" t="s">
        <v>25</v>
      </c>
      <c r="K9" s="86">
        <f>AVERAGE(E5:E1000)</f>
        <v>1.1724137931034482</v>
      </c>
      <c r="L9" s="87"/>
    </row>
    <row r="10" spans="1:20" ht="15.6" thickBot="1" x14ac:dyDescent="0.35">
      <c r="A10" s="5">
        <v>6</v>
      </c>
      <c r="B10" s="2">
        <v>5</v>
      </c>
      <c r="C10" s="3">
        <v>7</v>
      </c>
      <c r="D10" s="3">
        <v>10</v>
      </c>
      <c r="E10" s="3">
        <v>4</v>
      </c>
      <c r="F10" s="3">
        <v>1189</v>
      </c>
      <c r="G10" s="26" t="s">
        <v>11</v>
      </c>
      <c r="H10" s="72" t="s">
        <v>16</v>
      </c>
      <c r="I10" s="73"/>
      <c r="J10" s="34" t="s">
        <v>26</v>
      </c>
      <c r="K10" s="88">
        <f>AVERAGE(F5:F1000)</f>
        <v>993.41379310344826</v>
      </c>
      <c r="L10" s="89"/>
    </row>
    <row r="11" spans="1:20" ht="15" thickBot="1" x14ac:dyDescent="0.35">
      <c r="A11" s="5">
        <v>7</v>
      </c>
      <c r="B11" s="2">
        <v>7</v>
      </c>
      <c r="C11" s="3">
        <v>4</v>
      </c>
      <c r="D11" s="3">
        <v>9</v>
      </c>
      <c r="E11" s="3">
        <v>1</v>
      </c>
      <c r="F11" s="3">
        <v>1071</v>
      </c>
      <c r="G11" s="28" t="s">
        <v>12</v>
      </c>
      <c r="H11" s="74" t="s">
        <v>17</v>
      </c>
      <c r="I11" s="75"/>
      <c r="J11" s="35" t="s">
        <v>21</v>
      </c>
      <c r="K11" s="90">
        <f>SUM(B5:B1000)/SUM(D5:D1000)</f>
        <v>0.65714285714285714</v>
      </c>
      <c r="L11" s="91"/>
    </row>
    <row r="12" spans="1:20" x14ac:dyDescent="0.3">
      <c r="A12" s="5">
        <v>8</v>
      </c>
      <c r="B12" s="2">
        <v>4</v>
      </c>
      <c r="C12" s="3">
        <v>1</v>
      </c>
      <c r="D12" s="3">
        <v>8</v>
      </c>
      <c r="E12" s="3">
        <v>2</v>
      </c>
      <c r="F12" s="3">
        <v>771</v>
      </c>
      <c r="G12" s="29" t="s">
        <v>12</v>
      </c>
      <c r="H12" s="76" t="s">
        <v>15</v>
      </c>
      <c r="I12" s="77"/>
      <c r="J12" s="54"/>
      <c r="K12" s="55"/>
      <c r="L12" s="56"/>
    </row>
    <row r="13" spans="1:20" x14ac:dyDescent="0.3">
      <c r="A13" s="5">
        <v>9</v>
      </c>
      <c r="B13" s="2">
        <v>5</v>
      </c>
      <c r="C13" s="3">
        <v>4</v>
      </c>
      <c r="D13" s="3">
        <v>7</v>
      </c>
      <c r="E13" s="3">
        <v>1</v>
      </c>
      <c r="F13" s="3">
        <v>1010</v>
      </c>
      <c r="G13" s="30" t="s">
        <v>12</v>
      </c>
      <c r="H13" s="78" t="s">
        <v>14</v>
      </c>
      <c r="I13" s="79"/>
    </row>
    <row r="14" spans="1:20" x14ac:dyDescent="0.3">
      <c r="A14" s="5">
        <v>10</v>
      </c>
      <c r="B14" s="2">
        <v>7</v>
      </c>
      <c r="C14" s="3">
        <v>0</v>
      </c>
      <c r="D14" s="3">
        <v>8</v>
      </c>
      <c r="E14" s="3">
        <v>0</v>
      </c>
      <c r="F14" s="3">
        <v>910</v>
      </c>
      <c r="G14" s="29" t="s">
        <v>12</v>
      </c>
      <c r="H14" s="57" t="s">
        <v>13</v>
      </c>
      <c r="I14" s="58"/>
    </row>
    <row r="15" spans="1:20" x14ac:dyDescent="0.3">
      <c r="A15" s="5">
        <v>11</v>
      </c>
      <c r="B15" s="2">
        <v>9</v>
      </c>
      <c r="C15" s="3">
        <v>6</v>
      </c>
      <c r="D15" s="3">
        <v>14</v>
      </c>
      <c r="E15" s="3">
        <v>1</v>
      </c>
      <c r="F15" s="3">
        <v>1467</v>
      </c>
      <c r="G15" s="28" t="s">
        <v>12</v>
      </c>
      <c r="H15" s="59" t="s">
        <v>13</v>
      </c>
      <c r="I15" s="60"/>
      <c r="K15"/>
    </row>
    <row r="16" spans="1:20" x14ac:dyDescent="0.3">
      <c r="A16" s="5">
        <v>12</v>
      </c>
      <c r="B16" s="2">
        <v>7</v>
      </c>
      <c r="C16" s="3">
        <v>6</v>
      </c>
      <c r="D16" s="3">
        <v>15</v>
      </c>
      <c r="E16" s="3">
        <v>0</v>
      </c>
      <c r="F16" s="3">
        <v>1190</v>
      </c>
      <c r="G16" s="30" t="s">
        <v>12</v>
      </c>
      <c r="H16" s="65" t="s">
        <v>14</v>
      </c>
      <c r="I16" s="66"/>
    </row>
    <row r="17" spans="1:20" x14ac:dyDescent="0.3">
      <c r="A17" s="5">
        <v>13</v>
      </c>
      <c r="B17" s="2">
        <v>5</v>
      </c>
      <c r="C17" s="3">
        <v>6</v>
      </c>
      <c r="D17" s="3">
        <v>15</v>
      </c>
      <c r="E17" s="3">
        <v>1</v>
      </c>
      <c r="F17" s="3">
        <v>1076</v>
      </c>
      <c r="G17" s="31" t="s">
        <v>11</v>
      </c>
      <c r="H17" s="67" t="s">
        <v>15</v>
      </c>
      <c r="I17" s="68"/>
    </row>
    <row r="18" spans="1:20" ht="15" thickBot="1" x14ac:dyDescent="0.35">
      <c r="A18" s="5">
        <v>14</v>
      </c>
      <c r="B18" s="2">
        <v>5</v>
      </c>
      <c r="C18" s="3">
        <v>0</v>
      </c>
      <c r="D18" s="3">
        <v>6</v>
      </c>
      <c r="E18" s="3">
        <v>0</v>
      </c>
      <c r="F18" s="3">
        <v>758</v>
      </c>
      <c r="G18" s="29" t="s">
        <v>12</v>
      </c>
      <c r="H18" s="69" t="s">
        <v>17</v>
      </c>
      <c r="I18" s="70"/>
    </row>
    <row r="19" spans="1:20" x14ac:dyDescent="0.3">
      <c r="A19" s="5">
        <v>15</v>
      </c>
      <c r="B19" s="2">
        <v>7</v>
      </c>
      <c r="C19" s="3">
        <v>3</v>
      </c>
      <c r="D19" s="3">
        <v>9</v>
      </c>
      <c r="E19" s="3">
        <v>1</v>
      </c>
      <c r="F19" s="3">
        <v>1110</v>
      </c>
      <c r="G19" s="23" t="s">
        <v>12</v>
      </c>
    </row>
    <row r="20" spans="1:20" x14ac:dyDescent="0.3">
      <c r="A20" s="5">
        <v>16</v>
      </c>
      <c r="B20" s="2">
        <v>5</v>
      </c>
      <c r="C20" s="3">
        <v>6</v>
      </c>
      <c r="D20" s="3">
        <v>7</v>
      </c>
      <c r="E20" s="3">
        <v>1</v>
      </c>
      <c r="F20" s="3">
        <v>1065</v>
      </c>
      <c r="G20" s="47" t="s">
        <v>11</v>
      </c>
    </row>
    <row r="21" spans="1:20" x14ac:dyDescent="0.3">
      <c r="A21" s="5">
        <v>17</v>
      </c>
      <c r="B21" s="2">
        <v>7</v>
      </c>
      <c r="C21" s="3">
        <v>4</v>
      </c>
      <c r="D21" s="3">
        <v>8</v>
      </c>
      <c r="E21" s="3">
        <v>1</v>
      </c>
      <c r="F21" s="3">
        <v>1321</v>
      </c>
      <c r="G21" s="48" t="s">
        <v>12</v>
      </c>
      <c r="H21" s="61" t="s">
        <v>33</v>
      </c>
      <c r="I21" s="62"/>
      <c r="J21" s="45"/>
    </row>
    <row r="22" spans="1:20" ht="14.4" customHeight="1" x14ac:dyDescent="0.3">
      <c r="A22" s="5">
        <v>18</v>
      </c>
      <c r="B22" s="2">
        <v>6</v>
      </c>
      <c r="C22" s="3">
        <v>2</v>
      </c>
      <c r="D22" s="3">
        <v>8</v>
      </c>
      <c r="E22" s="3">
        <v>0</v>
      </c>
      <c r="F22" s="3">
        <v>828</v>
      </c>
      <c r="G22" s="23" t="s">
        <v>12</v>
      </c>
      <c r="H22" s="63">
        <v>1122</v>
      </c>
      <c r="I22" s="64"/>
      <c r="M22" s="93">
        <v>29</v>
      </c>
      <c r="N22" s="96" t="s">
        <v>34</v>
      </c>
      <c r="O22" s="96"/>
      <c r="P22" s="96"/>
      <c r="Q22" s="96"/>
      <c r="R22" s="96"/>
      <c r="S22" s="96"/>
      <c r="T22" s="96"/>
    </row>
    <row r="23" spans="1:20" ht="14.4" customHeight="1" thickBot="1" x14ac:dyDescent="0.35">
      <c r="A23" s="5">
        <v>19</v>
      </c>
      <c r="B23" s="2">
        <v>5</v>
      </c>
      <c r="C23" s="3">
        <v>2</v>
      </c>
      <c r="D23" s="3">
        <v>9</v>
      </c>
      <c r="E23" s="3">
        <v>1</v>
      </c>
      <c r="F23" s="3">
        <v>600</v>
      </c>
      <c r="G23" s="23" t="s">
        <v>12</v>
      </c>
      <c r="H23" s="44" t="s">
        <v>4</v>
      </c>
      <c r="I23" s="44" t="s">
        <v>29</v>
      </c>
      <c r="M23" s="93"/>
      <c r="N23" s="96"/>
      <c r="O23" s="96"/>
      <c r="P23" s="96"/>
      <c r="Q23" s="96"/>
      <c r="R23" s="96"/>
      <c r="S23" s="96"/>
      <c r="T23" s="96"/>
    </row>
    <row r="24" spans="1:20" ht="15" thickBot="1" x14ac:dyDescent="0.35">
      <c r="A24" s="5">
        <v>20</v>
      </c>
      <c r="B24" s="2">
        <v>5</v>
      </c>
      <c r="C24" s="3">
        <v>1</v>
      </c>
      <c r="D24" s="3">
        <v>5</v>
      </c>
      <c r="E24" s="3">
        <v>3</v>
      </c>
      <c r="F24" s="3">
        <v>1117</v>
      </c>
      <c r="G24" s="50" t="s">
        <v>12</v>
      </c>
      <c r="H24" s="46">
        <v>1</v>
      </c>
      <c r="I24" s="40">
        <v>1010</v>
      </c>
      <c r="M24" s="97" t="s">
        <v>35</v>
      </c>
      <c r="N24" s="98"/>
      <c r="O24" s="99"/>
    </row>
    <row r="25" spans="1:20" x14ac:dyDescent="0.3">
      <c r="A25" s="5">
        <v>21</v>
      </c>
      <c r="B25" s="2">
        <v>6</v>
      </c>
      <c r="C25" s="3">
        <v>1</v>
      </c>
      <c r="D25" s="3">
        <v>14</v>
      </c>
      <c r="E25" s="3">
        <v>2</v>
      </c>
      <c r="F25" s="3">
        <v>1165</v>
      </c>
      <c r="G25" s="50" t="s">
        <v>12</v>
      </c>
      <c r="H25" s="46">
        <v>2</v>
      </c>
      <c r="I25" s="40">
        <v>1020</v>
      </c>
    </row>
    <row r="26" spans="1:20" x14ac:dyDescent="0.3">
      <c r="A26" s="5">
        <v>22</v>
      </c>
      <c r="B26" s="2">
        <v>6</v>
      </c>
      <c r="C26" s="3">
        <v>3</v>
      </c>
      <c r="D26" s="3">
        <v>10</v>
      </c>
      <c r="E26" s="3">
        <v>2</v>
      </c>
      <c r="F26" s="3">
        <v>1088</v>
      </c>
      <c r="G26" s="23" t="s">
        <v>12</v>
      </c>
      <c r="H26" s="46">
        <v>3</v>
      </c>
      <c r="I26" s="40">
        <v>1030</v>
      </c>
    </row>
    <row r="27" spans="1:20" x14ac:dyDescent="0.3">
      <c r="A27" s="5">
        <v>23</v>
      </c>
      <c r="B27" s="2">
        <v>3</v>
      </c>
      <c r="C27" s="3">
        <v>0</v>
      </c>
      <c r="D27" s="3">
        <v>7</v>
      </c>
      <c r="E27" s="3">
        <v>1</v>
      </c>
      <c r="F27" s="3">
        <v>702</v>
      </c>
      <c r="G27" s="50" t="s">
        <v>12</v>
      </c>
      <c r="H27" s="46">
        <v>4</v>
      </c>
      <c r="I27" s="40">
        <v>1040</v>
      </c>
    </row>
    <row r="28" spans="1:20" x14ac:dyDescent="0.3">
      <c r="A28" s="5">
        <v>24</v>
      </c>
      <c r="B28" s="2">
        <v>3</v>
      </c>
      <c r="C28" s="3">
        <v>5</v>
      </c>
      <c r="D28" s="3">
        <v>7</v>
      </c>
      <c r="E28" s="3">
        <v>1</v>
      </c>
      <c r="F28" s="3">
        <v>655</v>
      </c>
      <c r="G28" s="51" t="s">
        <v>11</v>
      </c>
      <c r="H28" s="46">
        <v>5</v>
      </c>
      <c r="I28" s="40">
        <v>1030</v>
      </c>
    </row>
    <row r="29" spans="1:20" x14ac:dyDescent="0.3">
      <c r="A29" s="5">
        <v>25</v>
      </c>
      <c r="B29" s="2">
        <v>6</v>
      </c>
      <c r="C29" s="3">
        <v>7</v>
      </c>
      <c r="D29" s="3">
        <v>8</v>
      </c>
      <c r="E29" s="3">
        <v>0</v>
      </c>
      <c r="F29" s="3">
        <v>1253</v>
      </c>
      <c r="G29" s="47" t="s">
        <v>11</v>
      </c>
      <c r="H29" s="46">
        <v>6</v>
      </c>
      <c r="I29" s="40">
        <v>1020</v>
      </c>
    </row>
    <row r="30" spans="1:20" x14ac:dyDescent="0.3">
      <c r="A30" s="5">
        <v>26</v>
      </c>
      <c r="B30" s="2">
        <v>4</v>
      </c>
      <c r="C30" s="3">
        <v>3</v>
      </c>
      <c r="D30" s="3">
        <v>5</v>
      </c>
      <c r="E30" s="3">
        <v>1</v>
      </c>
      <c r="F30" s="3">
        <v>751</v>
      </c>
      <c r="G30" s="48" t="s">
        <v>12</v>
      </c>
      <c r="H30" s="46">
        <v>7</v>
      </c>
      <c r="I30" s="40">
        <v>1030</v>
      </c>
    </row>
    <row r="31" spans="1:20" x14ac:dyDescent="0.3">
      <c r="A31" s="5">
        <v>27</v>
      </c>
      <c r="B31" s="2">
        <v>5</v>
      </c>
      <c r="C31" s="3">
        <v>7</v>
      </c>
      <c r="D31" s="3">
        <v>8</v>
      </c>
      <c r="E31" s="3">
        <v>0</v>
      </c>
      <c r="F31" s="3">
        <v>977</v>
      </c>
      <c r="G31" s="92" t="s">
        <v>11</v>
      </c>
      <c r="H31" s="46">
        <v>8</v>
      </c>
      <c r="I31" s="40">
        <v>1040</v>
      </c>
    </row>
    <row r="32" spans="1:20" x14ac:dyDescent="0.3">
      <c r="A32" s="5">
        <v>28</v>
      </c>
      <c r="B32" s="2">
        <v>3</v>
      </c>
      <c r="C32" s="3">
        <v>0</v>
      </c>
      <c r="D32" s="3">
        <v>4</v>
      </c>
      <c r="E32" s="3">
        <v>2</v>
      </c>
      <c r="F32" s="3">
        <v>821</v>
      </c>
      <c r="G32" s="50" t="s">
        <v>12</v>
      </c>
      <c r="H32" s="46">
        <v>9</v>
      </c>
      <c r="I32" s="40">
        <v>1050</v>
      </c>
    </row>
    <row r="33" spans="1:9" x14ac:dyDescent="0.3">
      <c r="A33" s="5">
        <v>29</v>
      </c>
      <c r="B33" s="2">
        <v>5</v>
      </c>
      <c r="C33" s="3">
        <v>6</v>
      </c>
      <c r="D33" s="3">
        <v>7</v>
      </c>
      <c r="E33" s="3">
        <v>1</v>
      </c>
      <c r="F33" s="3">
        <v>1058</v>
      </c>
      <c r="G33" s="47" t="s">
        <v>11</v>
      </c>
      <c r="H33" s="46">
        <v>10</v>
      </c>
      <c r="I33" s="40">
        <v>1060</v>
      </c>
    </row>
    <row r="34" spans="1:9" x14ac:dyDescent="0.3">
      <c r="G34" s="21"/>
      <c r="H34" s="46">
        <v>11</v>
      </c>
      <c r="I34" s="40">
        <v>1070</v>
      </c>
    </row>
    <row r="35" spans="1:9" x14ac:dyDescent="0.3">
      <c r="G35" s="21"/>
      <c r="H35" s="46">
        <v>12</v>
      </c>
      <c r="I35" s="40">
        <v>1080</v>
      </c>
    </row>
    <row r="36" spans="1:9" x14ac:dyDescent="0.3">
      <c r="G36" s="21"/>
      <c r="H36" s="46">
        <v>13</v>
      </c>
      <c r="I36" s="40">
        <v>1070</v>
      </c>
    </row>
    <row r="37" spans="1:9" x14ac:dyDescent="0.3">
      <c r="G37" s="21"/>
      <c r="H37" s="46">
        <v>14</v>
      </c>
      <c r="I37" s="40">
        <v>1080</v>
      </c>
    </row>
    <row r="38" spans="1:9" x14ac:dyDescent="0.3">
      <c r="G38" s="21"/>
      <c r="H38" s="46">
        <v>15</v>
      </c>
      <c r="I38" s="40">
        <v>1090</v>
      </c>
    </row>
    <row r="39" spans="1:9" x14ac:dyDescent="0.3">
      <c r="G39" s="21"/>
      <c r="H39" s="46">
        <v>16</v>
      </c>
      <c r="I39" s="40">
        <v>1082</v>
      </c>
    </row>
    <row r="40" spans="1:9" x14ac:dyDescent="0.3">
      <c r="G40" s="21"/>
      <c r="H40" s="46">
        <v>17</v>
      </c>
      <c r="I40" s="40">
        <v>1090</v>
      </c>
    </row>
    <row r="41" spans="1:9" x14ac:dyDescent="0.3">
      <c r="G41" s="21"/>
      <c r="H41" s="46">
        <v>18</v>
      </c>
      <c r="I41" s="40">
        <v>1098</v>
      </c>
    </row>
    <row r="42" spans="1:9" x14ac:dyDescent="0.3">
      <c r="G42" s="21"/>
      <c r="H42" s="46">
        <v>19</v>
      </c>
      <c r="I42" s="40">
        <v>1106</v>
      </c>
    </row>
    <row r="43" spans="1:9" x14ac:dyDescent="0.3">
      <c r="G43" s="21"/>
      <c r="H43" s="46">
        <v>20</v>
      </c>
      <c r="I43" s="40">
        <v>1114</v>
      </c>
    </row>
    <row r="44" spans="1:9" x14ac:dyDescent="0.3">
      <c r="G44" s="21"/>
      <c r="H44" s="46">
        <v>21</v>
      </c>
      <c r="I44" s="40">
        <v>1122</v>
      </c>
    </row>
    <row r="45" spans="1:9" x14ac:dyDescent="0.3">
      <c r="G45" s="21"/>
      <c r="H45" s="46">
        <v>22</v>
      </c>
      <c r="I45" s="40">
        <v>1130</v>
      </c>
    </row>
    <row r="46" spans="1:9" x14ac:dyDescent="0.3">
      <c r="G46" s="21"/>
      <c r="H46" s="46">
        <v>23</v>
      </c>
      <c r="I46" s="40">
        <v>1138</v>
      </c>
    </row>
    <row r="47" spans="1:9" x14ac:dyDescent="0.3">
      <c r="G47" s="21"/>
      <c r="H47" s="46">
        <v>24</v>
      </c>
      <c r="I47" s="40">
        <v>1130</v>
      </c>
    </row>
    <row r="48" spans="1:9" x14ac:dyDescent="0.3">
      <c r="G48" s="21"/>
      <c r="H48" s="46">
        <v>25</v>
      </c>
      <c r="I48" s="40">
        <v>1122</v>
      </c>
    </row>
    <row r="49" spans="7:9" x14ac:dyDescent="0.3">
      <c r="G49" s="21"/>
      <c r="H49" s="46">
        <v>26</v>
      </c>
      <c r="I49" s="40">
        <v>1130</v>
      </c>
    </row>
    <row r="50" spans="7:9" x14ac:dyDescent="0.3">
      <c r="H50" s="46">
        <v>27</v>
      </c>
      <c r="I50" s="40">
        <v>1122</v>
      </c>
    </row>
    <row r="51" spans="7:9" x14ac:dyDescent="0.3">
      <c r="H51" s="46">
        <v>28</v>
      </c>
      <c r="I51" s="40">
        <v>1130</v>
      </c>
    </row>
    <row r="52" spans="7:9" x14ac:dyDescent="0.3">
      <c r="H52" s="46">
        <v>29</v>
      </c>
      <c r="I52" s="40">
        <v>1122</v>
      </c>
    </row>
  </sheetData>
  <mergeCells count="23">
    <mergeCell ref="M22:M23"/>
    <mergeCell ref="N22:T23"/>
    <mergeCell ref="K2:L2"/>
    <mergeCell ref="H10:I10"/>
    <mergeCell ref="H11:I11"/>
    <mergeCell ref="H12:I12"/>
    <mergeCell ref="H13:I13"/>
    <mergeCell ref="K3:L3"/>
    <mergeCell ref="K4:L4"/>
    <mergeCell ref="K5:L5"/>
    <mergeCell ref="K6:L6"/>
    <mergeCell ref="K7:L7"/>
    <mergeCell ref="K8:L8"/>
    <mergeCell ref="K9:L9"/>
    <mergeCell ref="K10:L10"/>
    <mergeCell ref="K11:L11"/>
    <mergeCell ref="H14:I14"/>
    <mergeCell ref="H15:I15"/>
    <mergeCell ref="H21:I21"/>
    <mergeCell ref="H22:I22"/>
    <mergeCell ref="H16:I16"/>
    <mergeCell ref="H17:I17"/>
    <mergeCell ref="H18:I18"/>
  </mergeCells>
  <conditionalFormatting sqref="N2">
    <cfRule type="cellIs" dxfId="1" priority="2" operator="greaterThan">
      <formula>0</formula>
    </cfRule>
    <cfRule type="cellIs" dxfId="0" priority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EnterData_Click">
                <anchor moveWithCells="1" sizeWithCells="1">
                  <from>
                    <xdr:col>6</xdr:col>
                    <xdr:colOff>22860</xdr:colOff>
                    <xdr:row>0</xdr:row>
                    <xdr:rowOff>22860</xdr:rowOff>
                  </from>
                  <to>
                    <xdr:col>8</xdr:col>
                    <xdr:colOff>594360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UpdateStats_Click">
                <anchor moveWithCells="1" sizeWithCells="1">
                  <from>
                    <xdr:col>7</xdr:col>
                    <xdr:colOff>7620</xdr:colOff>
                    <xdr:row>5</xdr:row>
                    <xdr:rowOff>175260</xdr:rowOff>
                  </from>
                  <to>
                    <xdr:col>8</xdr:col>
                    <xdr:colOff>594360</xdr:colOff>
                    <xdr:row>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Table_Click">
                <anchor moveWithCells="1" sizeWithCells="1">
                  <from>
                    <xdr:col>7</xdr:col>
                    <xdr:colOff>22860</xdr:colOff>
                    <xdr:row>2</xdr:row>
                    <xdr:rowOff>198120</xdr:rowOff>
                  </from>
                  <to>
                    <xdr:col>8</xdr:col>
                    <xdr:colOff>594360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heckData_Click">
                <anchor moveWithCells="1" sizeWithCells="1">
                  <from>
                    <xdr:col>7</xdr:col>
                    <xdr:colOff>22860</xdr:colOff>
                    <xdr:row>18</xdr:row>
                    <xdr:rowOff>7620</xdr:rowOff>
                  </from>
                  <to>
                    <xdr:col>8</xdr:col>
                    <xdr:colOff>601980</xdr:colOff>
                    <xdr:row>20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iandoleary</dc:creator>
  <cp:lastModifiedBy>iandoleary</cp:lastModifiedBy>
  <dcterms:created xsi:type="dcterms:W3CDTF">2020-11-01T22:41:54Z</dcterms:created>
  <dcterms:modified xsi:type="dcterms:W3CDTF">2020-11-04T05:37:01Z</dcterms:modified>
</cp:coreProperties>
</file>